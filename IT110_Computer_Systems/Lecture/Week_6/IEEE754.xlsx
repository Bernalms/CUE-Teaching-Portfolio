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c6cd8235396689/Documentos/Work/concordia/IT110/"/>
    </mc:Choice>
  </mc:AlternateContent>
  <xr:revisionPtr revIDLastSave="18" documentId="8_{0212202B-7C37-46CF-9891-641F5EF2E962}" xr6:coauthVersionLast="47" xr6:coauthVersionMax="47" xr10:uidLastSave="{F6971A7A-9595-4FA7-B4CF-6FF2F3DAEE87}"/>
  <bookViews>
    <workbookView xWindow="-108" yWindow="-108" windowWidth="23256" windowHeight="12576" xr2:uid="{7E3A7F8E-B20C-47F6-861E-BF718581E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8" i="1"/>
  <c r="E17" i="1"/>
  <c r="D18" i="1"/>
  <c r="C18" i="1"/>
  <c r="D1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C15" i="1"/>
  <c r="E15" i="1" s="1"/>
  <c r="C14" i="1"/>
  <c r="C13" i="1"/>
  <c r="C12" i="1"/>
  <c r="C11" i="1"/>
  <c r="C10" i="1"/>
  <c r="C9" i="1"/>
  <c r="C8" i="1"/>
  <c r="C7" i="1"/>
  <c r="C6" i="1"/>
  <c r="E6" i="1" s="1"/>
  <c r="C5" i="1"/>
  <c r="C4" i="1"/>
  <c r="E4" i="1" s="1"/>
  <c r="C3" i="1"/>
  <c r="E5" i="1" l="1"/>
  <c r="E12" i="1"/>
  <c r="E13" i="1"/>
  <c r="E9" i="1"/>
  <c r="E14" i="1"/>
  <c r="E8" i="1"/>
  <c r="C16" i="1"/>
  <c r="E16" i="1" s="1"/>
  <c r="E7" i="1"/>
  <c r="E10" i="1"/>
  <c r="E11" i="1"/>
  <c r="E3" i="1"/>
</calcChain>
</file>

<file path=xl/sharedStrings.xml><?xml version="1.0" encoding="utf-8"?>
<sst xmlns="http://schemas.openxmlformats.org/spreadsheetml/2006/main" count="6" uniqueCount="6">
  <si>
    <t>Integer part of mantissa</t>
  </si>
  <si>
    <t>IEEE754</t>
  </si>
  <si>
    <t>Numbert in decimal(with finite precision )</t>
  </si>
  <si>
    <t>Actual number I typed and encoded</t>
  </si>
  <si>
    <t>Accuracy error (truncation and approximation)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</si>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</sst>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0000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164" fontId="0" fillId="5" borderId="0" xfId="0" applyNumberFormat="1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NumberFormat="1" applyFont="1" applyFill="1"/>
    <xf numFmtId="0" fontId="0" fillId="9" borderId="0" xfId="0" applyFill="1"/>
    <xf numFmtId="1" fontId="0" fillId="2" borderId="0" xfId="0" applyNumberFormat="1" applyFill="1"/>
    <xf numFmtId="164" fontId="0" fillId="3" borderId="0" xfId="0" applyNumberFormat="1" applyFill="1"/>
    <xf numFmtId="164" fontId="1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3819-49C2-4D12-9EC5-DC096168B9BD}">
  <dimension ref="A1:F20"/>
  <sheetViews>
    <sheetView tabSelected="1" workbookViewId="0">
      <selection activeCell="B22" sqref="B22"/>
    </sheetView>
  </sheetViews>
  <sheetFormatPr defaultRowHeight="14.4" x14ac:dyDescent="0.3"/>
  <cols>
    <col min="1" max="1" width="9.109375" customWidth="1"/>
    <col min="2" max="2" width="47.44140625" style="1" customWidth="1"/>
    <col min="3" max="3" width="31.21875" customWidth="1"/>
    <col min="5" max="5" width="35.6640625" customWidth="1"/>
    <col min="6" max="6" width="53.33203125" customWidth="1"/>
  </cols>
  <sheetData>
    <row r="1" spans="1:6" x14ac:dyDescent="0.3">
      <c r="A1" s="9" t="s">
        <v>1</v>
      </c>
      <c r="B1" s="10"/>
      <c r="C1" s="9"/>
      <c r="D1" s="11">
        <v>0</v>
      </c>
      <c r="E1" s="12">
        <v>10001000</v>
      </c>
      <c r="F1" s="13">
        <v>1.1100001101111E+21</v>
      </c>
    </row>
    <row r="3" spans="1:6" x14ac:dyDescent="0.3">
      <c r="B3" s="1">
        <v>0.01</v>
      </c>
      <c r="C3" s="1">
        <f>1/2^(2)</f>
        <v>0.25</v>
      </c>
      <c r="D3">
        <f>2^(9)</f>
        <v>512</v>
      </c>
      <c r="E3" s="1">
        <f>C3*D3</f>
        <v>128</v>
      </c>
    </row>
    <row r="4" spans="1:6" x14ac:dyDescent="0.3">
      <c r="B4" s="1">
        <v>1E-3</v>
      </c>
      <c r="C4" s="1">
        <f>1/2^(3)</f>
        <v>0.125</v>
      </c>
      <c r="D4">
        <f t="shared" ref="C4:D18" si="0">2^(9)</f>
        <v>512</v>
      </c>
      <c r="E4" s="1">
        <f t="shared" ref="E4:E18" si="1">C4*D4</f>
        <v>64</v>
      </c>
    </row>
    <row r="5" spans="1:6" x14ac:dyDescent="0.3">
      <c r="B5" s="1">
        <v>1E-4</v>
      </c>
      <c r="C5" s="1">
        <f>1/2^(4)</f>
        <v>6.25E-2</v>
      </c>
      <c r="D5">
        <f t="shared" si="0"/>
        <v>512</v>
      </c>
      <c r="E5" s="1">
        <f t="shared" si="1"/>
        <v>32</v>
      </c>
    </row>
    <row r="6" spans="1:6" x14ac:dyDescent="0.3">
      <c r="B6" s="1">
        <v>1.0000000000000001E-9</v>
      </c>
      <c r="C6" s="1">
        <f>1/2^(9)</f>
        <v>1.953125E-3</v>
      </c>
      <c r="D6">
        <f t="shared" si="0"/>
        <v>512</v>
      </c>
      <c r="E6" s="1">
        <f t="shared" si="1"/>
        <v>1</v>
      </c>
    </row>
    <row r="7" spans="1:6" x14ac:dyDescent="0.3">
      <c r="B7" s="1">
        <v>1E-10</v>
      </c>
      <c r="C7" s="1">
        <f>1/2^(10)</f>
        <v>9.765625E-4</v>
      </c>
      <c r="D7">
        <f t="shared" si="0"/>
        <v>512</v>
      </c>
      <c r="E7" s="1">
        <f t="shared" si="1"/>
        <v>0.5</v>
      </c>
    </row>
    <row r="8" spans="1:6" x14ac:dyDescent="0.3">
      <c r="B8" s="1">
        <v>9.9999999999999998E-13</v>
      </c>
      <c r="C8" s="1">
        <f>1/2^(12)</f>
        <v>2.44140625E-4</v>
      </c>
      <c r="D8">
        <f t="shared" si="0"/>
        <v>512</v>
      </c>
      <c r="E8" s="1">
        <f t="shared" si="1"/>
        <v>0.125</v>
      </c>
    </row>
    <row r="9" spans="1:6" x14ac:dyDescent="0.3">
      <c r="B9" s="1">
        <v>1E-13</v>
      </c>
      <c r="C9" s="1">
        <f>1/2^(13)</f>
        <v>1.220703125E-4</v>
      </c>
      <c r="D9">
        <f t="shared" si="0"/>
        <v>512</v>
      </c>
      <c r="E9" s="1">
        <f t="shared" si="1"/>
        <v>6.25E-2</v>
      </c>
    </row>
    <row r="10" spans="1:6" x14ac:dyDescent="0.3">
      <c r="B10" s="1">
        <v>1E-14</v>
      </c>
      <c r="C10" s="1">
        <f>1/2^(14)</f>
        <v>6.103515625E-5</v>
      </c>
      <c r="D10">
        <f t="shared" si="0"/>
        <v>512</v>
      </c>
      <c r="E10" s="1">
        <f t="shared" si="1"/>
        <v>3.125E-2</v>
      </c>
    </row>
    <row r="11" spans="1:6" x14ac:dyDescent="0.3">
      <c r="B11" s="1">
        <v>1.0000000000000001E-15</v>
      </c>
      <c r="C11" s="1">
        <f>1/2^(15)</f>
        <v>3.0517578125E-5</v>
      </c>
      <c r="D11">
        <f t="shared" si="0"/>
        <v>512</v>
      </c>
      <c r="E11" s="1">
        <f t="shared" si="1"/>
        <v>1.5625E-2</v>
      </c>
    </row>
    <row r="12" spans="1:6" x14ac:dyDescent="0.3">
      <c r="B12" s="1">
        <v>1.0000000000000001E-18</v>
      </c>
      <c r="C12" s="1">
        <f>1/2^(18)</f>
        <v>3.814697265625E-6</v>
      </c>
      <c r="D12">
        <f t="shared" si="0"/>
        <v>512</v>
      </c>
      <c r="E12" s="1">
        <f t="shared" si="1"/>
        <v>1.953125E-3</v>
      </c>
    </row>
    <row r="13" spans="1:6" x14ac:dyDescent="0.3">
      <c r="B13" s="1">
        <v>9.9999999999999995E-21</v>
      </c>
      <c r="C13" s="1">
        <f>1/2^(20)</f>
        <v>9.5367431640625E-7</v>
      </c>
      <c r="D13">
        <f t="shared" si="0"/>
        <v>512</v>
      </c>
      <c r="E13" s="1">
        <f t="shared" si="1"/>
        <v>4.8828125E-4</v>
      </c>
    </row>
    <row r="14" spans="1:6" x14ac:dyDescent="0.3">
      <c r="B14" s="1">
        <v>1E-22</v>
      </c>
      <c r="C14" s="1">
        <f>1/2^(22)</f>
        <v>2.384185791015625E-7</v>
      </c>
      <c r="D14">
        <f t="shared" si="0"/>
        <v>512</v>
      </c>
      <c r="E14" s="1">
        <f t="shared" si="1"/>
        <v>1.220703125E-4</v>
      </c>
    </row>
    <row r="15" spans="1:6" x14ac:dyDescent="0.3">
      <c r="B15" s="1">
        <v>9.9999999999999996E-24</v>
      </c>
      <c r="C15" s="1">
        <f>1/2^(23)</f>
        <v>1.1920928955078125E-7</v>
      </c>
      <c r="D15">
        <f t="shared" si="0"/>
        <v>512</v>
      </c>
      <c r="E15" s="1">
        <f t="shared" si="1"/>
        <v>6.103515625E-5</v>
      </c>
    </row>
    <row r="16" spans="1:6" s="7" customFormat="1" x14ac:dyDescent="0.3">
      <c r="B16" s="8"/>
      <c r="C16" s="8">
        <f>SUM(C3:C15)</f>
        <v>0.44089257717132568</v>
      </c>
      <c r="D16" s="7">
        <f t="shared" si="0"/>
        <v>512</v>
      </c>
      <c r="E16" s="8">
        <f t="shared" si="1"/>
        <v>225.73699951171875</v>
      </c>
    </row>
    <row r="17" spans="2:5" s="4" customFormat="1" x14ac:dyDescent="0.3">
      <c r="B17" s="3" t="s">
        <v>0</v>
      </c>
      <c r="C17" s="3">
        <v>1</v>
      </c>
      <c r="D17" s="4">
        <f t="shared" si="0"/>
        <v>512</v>
      </c>
      <c r="E17" s="3">
        <f t="shared" si="1"/>
        <v>512</v>
      </c>
    </row>
    <row r="18" spans="2:5" s="6" customFormat="1" x14ac:dyDescent="0.3">
      <c r="B18" s="5" t="s">
        <v>2</v>
      </c>
      <c r="C18" s="5">
        <f>C16+C17</f>
        <v>1.4408925771713257</v>
      </c>
      <c r="D18" s="6">
        <f t="shared" si="0"/>
        <v>512</v>
      </c>
      <c r="E18" s="5">
        <f t="shared" si="1"/>
        <v>737.73699951171875</v>
      </c>
    </row>
    <row r="19" spans="2:5" x14ac:dyDescent="0.3">
      <c r="B19" s="14" t="s">
        <v>3</v>
      </c>
      <c r="E19" s="2">
        <v>737.73699999999997</v>
      </c>
    </row>
    <row r="20" spans="2:5" x14ac:dyDescent="0.3">
      <c r="B20" s="15" t="s">
        <v>4</v>
      </c>
      <c r="D20" t="s">
        <v>5</v>
      </c>
      <c r="E20" s="15">
        <f>E19-E18</f>
        <v>4.8828121634869603E-7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Bernal Manzanilla Saavedra</dc:creator>
  <cp:lastModifiedBy>Bernal Manzanilla Saavedra</cp:lastModifiedBy>
  <dcterms:created xsi:type="dcterms:W3CDTF">2024-03-04T06:19:34Z</dcterms:created>
  <dcterms:modified xsi:type="dcterms:W3CDTF">2024-03-04T07:24:55Z</dcterms:modified>
</cp:coreProperties>
</file>